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Project\contrac-ai\"/>
    </mc:Choice>
  </mc:AlternateContent>
  <xr:revisionPtr revIDLastSave="0" documentId="13_ncr:1_{356E6552-3584-40E0-B221-DA43291CB8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附件1.6采购-运维技术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1" l="1"/>
  <c r="Z7" i="1" s="1"/>
  <c r="A6" i="1"/>
  <c r="Z5" i="1"/>
  <c r="Y5" i="1" s="1"/>
  <c r="A5" i="1"/>
  <c r="Y6" i="1" l="1"/>
  <c r="Y7" i="1"/>
</calcChain>
</file>

<file path=xl/sharedStrings.xml><?xml version="1.0" encoding="utf-8"?>
<sst xmlns="http://schemas.openxmlformats.org/spreadsheetml/2006/main" count="179" uniqueCount="96">
  <si>
    <t>云南云上云信息化有限公司
采购合同履行情况统计表</t>
  </si>
  <si>
    <t>自动</t>
  </si>
  <si>
    <t>手动</t>
  </si>
  <si>
    <t>单位：元</t>
  </si>
  <si>
    <t>序号</t>
  </si>
  <si>
    <t>对应销售合同</t>
  </si>
  <si>
    <t>合同编号</t>
  </si>
  <si>
    <t>合同类型</t>
  </si>
  <si>
    <t>合同名称</t>
  </si>
  <si>
    <t>对方单位名称</t>
  </si>
  <si>
    <t>合同金额（元）</t>
  </si>
  <si>
    <t>税率</t>
  </si>
  <si>
    <t>不含税金额（元）</t>
  </si>
  <si>
    <t>履约保证金/
质保金情况</t>
  </si>
  <si>
    <t>签订时间</t>
  </si>
  <si>
    <t>生效日期</t>
  </si>
  <si>
    <t>截止日期（以质保/维保结束时间为准）</t>
  </si>
  <si>
    <t>合同状态</t>
  </si>
  <si>
    <t>合同执行节点</t>
  </si>
  <si>
    <t>经办人</t>
  </si>
  <si>
    <t>采购方式</t>
  </si>
  <si>
    <t>主办部门</t>
  </si>
  <si>
    <t>合同支付条款</t>
  </si>
  <si>
    <t>备注</t>
  </si>
  <si>
    <t>已开票情况</t>
  </si>
  <si>
    <t>支付情况
（以合同最后付款时间判断-自动计算）</t>
  </si>
  <si>
    <t>合同未付款合计
（自动计算）</t>
  </si>
  <si>
    <t>付款合计
（自动计算）</t>
  </si>
  <si>
    <t>付款金额</t>
  </si>
  <si>
    <t>付款时间</t>
  </si>
  <si>
    <t>退履约保证金、质保金</t>
  </si>
  <si>
    <t>初验日期（无初验要求，统一填在终验栏）</t>
  </si>
  <si>
    <t>终验日期</t>
  </si>
  <si>
    <t>其他</t>
  </si>
  <si>
    <t>运维技术部</t>
  </si>
  <si>
    <t>XS-2025-3553</t>
  </si>
  <si>
    <t>CG-2025-005</t>
  </si>
  <si>
    <t>硬件采购</t>
  </si>
  <si>
    <t>数据库迁移服务 (第1期)</t>
  </si>
  <si>
    <t>华为技术有限公司</t>
  </si>
  <si>
    <t>已结项</t>
  </si>
  <si>
    <t>李四</t>
  </si>
  <si>
    <t>竞争性谈判</t>
  </si>
  <si>
    <t>XS-2025-2694</t>
  </si>
  <si>
    <t>CG-2025-006</t>
  </si>
  <si>
    <t>维保服务</t>
  </si>
  <si>
    <t>核心交换机扩容采购项目 (第2期)</t>
  </si>
  <si>
    <t>新华三技术有限公司</t>
  </si>
  <si>
    <t>执行中</t>
  </si>
  <si>
    <t>王五</t>
  </si>
  <si>
    <t>公开招标</t>
  </si>
  <si>
    <t>XS-2025-9862</t>
  </si>
  <si>
    <t>CG-2025-007</t>
  </si>
  <si>
    <t>工程实施</t>
  </si>
  <si>
    <t>云平台年度维保服务 (第3期)</t>
  </si>
  <si>
    <t>XS-2025-4765</t>
  </si>
  <si>
    <t>CG-2025-008</t>
  </si>
  <si>
    <t>核心交换机扩容采购项目 (第4期)</t>
  </si>
  <si>
    <t>XS-2025-8917</t>
  </si>
  <si>
    <t>CG-2025-009</t>
  </si>
  <si>
    <t>云平台年度维保服务 (第5期)</t>
  </si>
  <si>
    <t>XS-2025-1783</t>
  </si>
  <si>
    <t>CG-2025-010</t>
  </si>
  <si>
    <t>核心交换机扩容采购项目 (第6期)</t>
  </si>
  <si>
    <t>浪潮电子信息产业股份有限公司</t>
  </si>
  <si>
    <t>XS-2025-1191</t>
  </si>
  <si>
    <t>CG-2025-011</t>
  </si>
  <si>
    <t>超融合集群服务器采购 (第7期)</t>
  </si>
  <si>
    <t>XS-2025-6889</t>
  </si>
  <si>
    <t>CG-2025-012</t>
  </si>
  <si>
    <t>云平台年度维保服务 (第8期)</t>
  </si>
  <si>
    <t>腾讯云计算（北京）有限责任公司</t>
  </si>
  <si>
    <t>XS-2025-8489</t>
  </si>
  <si>
    <t>CG-2025-013</t>
  </si>
  <si>
    <t>总部大楼网络弱电改造 (第9期)</t>
  </si>
  <si>
    <t>阿里云计算有限公司</t>
  </si>
  <si>
    <t>XS-2025-3876</t>
  </si>
  <si>
    <t>CG-2025-014</t>
  </si>
  <si>
    <t>总部大楼网络弱电改造 (第10期)</t>
  </si>
  <si>
    <t>张三</t>
  </si>
  <si>
    <t>XS-2025-9033</t>
  </si>
  <si>
    <t>CG-2025-015</t>
  </si>
  <si>
    <t>总部大楼网络弱电改造 (第11期)</t>
  </si>
  <si>
    <t>XS-2025-5254</t>
  </si>
  <si>
    <t>CG-2025-016</t>
  </si>
  <si>
    <t>态势感知安全设备采购 (第12期)</t>
  </si>
  <si>
    <t>XS-2025-2962</t>
  </si>
  <si>
    <t>CG-2025-017</t>
  </si>
  <si>
    <t>云平台年度维保服务 (第13期)</t>
  </si>
  <si>
    <t>XS-2025-4189</t>
  </si>
  <si>
    <t>CG-2025-018</t>
  </si>
  <si>
    <t>态势感知安全设备采购 (第14期)</t>
  </si>
  <si>
    <t>XS-2025-7579</t>
  </si>
  <si>
    <t>CG-2025-019</t>
  </si>
  <si>
    <t>软件授权</t>
  </si>
  <si>
    <t>云平台年度维保服务 (第15期)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</si>
</sst>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78" formatCode="yyyy&quot;年&quot;m&quot;月&quot;d&quot;日&quot;;@"/>
  </numFmts>
  <fonts count="15" x14ac:knownFonts="1"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方正仿宋简体"/>
      <charset val="134"/>
    </font>
    <font>
      <b/>
      <sz val="12"/>
      <color theme="1"/>
      <name val="宋体"/>
      <charset val="134"/>
      <scheme val="minor"/>
    </font>
    <font>
      <sz val="9"/>
      <color rgb="FF000000"/>
      <name val="方正仿宋简体"/>
      <charset val="134"/>
    </font>
    <font>
      <b/>
      <sz val="18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9"/>
      <color rgb="FF000000"/>
      <name val="宋体"/>
      <charset val="134"/>
    </font>
    <font>
      <b/>
      <sz val="10"/>
      <name val="宋体"/>
      <charset val="134"/>
    </font>
    <font>
      <sz val="9"/>
      <name val="方正仿宋简体"/>
      <charset val="134"/>
    </font>
    <font>
      <b/>
      <sz val="9"/>
      <color theme="1"/>
      <name val="方正仿宋简体"/>
      <charset val="134"/>
    </font>
    <font>
      <b/>
      <sz val="9"/>
      <color rgb="FF000000"/>
      <name val="方正仿宋简体"/>
      <charset val="134"/>
    </font>
    <font>
      <b/>
      <sz val="9"/>
      <name val="方正仿宋简体"/>
      <charset val="134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5117038483843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shrinkToFit="1"/>
    </xf>
    <xf numFmtId="43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 shrinkToFit="1"/>
    </xf>
    <xf numFmtId="0" fontId="7" fillId="3" borderId="0" xfId="0" applyFont="1" applyFill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8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 shrinkToFit="1"/>
    </xf>
    <xf numFmtId="43" fontId="5" fillId="0" borderId="0" xfId="0" applyNumberFormat="1" applyFont="1" applyAlignment="1">
      <alignment horizontal="center" vertical="center" wrapText="1"/>
    </xf>
    <xf numFmtId="43" fontId="5" fillId="0" borderId="0" xfId="0" applyNumberFormat="1" applyFont="1" applyAlignment="1">
      <alignment horizontal="right" vertical="center" wrapText="1"/>
    </xf>
    <xf numFmtId="178" fontId="5" fillId="0" borderId="0" xfId="0" applyNumberFormat="1" applyFont="1" applyAlignment="1">
      <alignment horizontal="left" vertical="center" wrapText="1"/>
    </xf>
    <xf numFmtId="178" fontId="8" fillId="0" borderId="0" xfId="0" applyNumberFormat="1" applyFont="1" applyAlignment="1">
      <alignment horizontal="center" vertical="center" wrapText="1"/>
    </xf>
    <xf numFmtId="43" fontId="9" fillId="0" borderId="3" xfId="0" applyNumberFormat="1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43" fontId="9" fillId="0" borderId="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 shrinkToFit="1"/>
    </xf>
    <xf numFmtId="43" fontId="10" fillId="0" borderId="7" xfId="0" applyNumberFormat="1" applyFont="1" applyBorder="1" applyAlignment="1">
      <alignment horizontal="center" vertical="center" wrapText="1"/>
    </xf>
    <xf numFmtId="43" fontId="10" fillId="0" borderId="7" xfId="0" applyNumberFormat="1" applyFont="1" applyBorder="1" applyAlignment="1">
      <alignment horizontal="right" vertical="center" wrapText="1"/>
    </xf>
    <xf numFmtId="178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3" fontId="4" fillId="4" borderId="7" xfId="0" applyNumberFormat="1" applyFont="1" applyFill="1" applyBorder="1" applyAlignment="1">
      <alignment horizontal="right" vertical="center" wrapText="1"/>
    </xf>
    <xf numFmtId="43" fontId="4" fillId="0" borderId="7" xfId="0" applyNumberFormat="1" applyFont="1" applyBorder="1" applyAlignment="1">
      <alignment horizontal="center" vertical="center" wrapText="1"/>
    </xf>
    <xf numFmtId="43" fontId="4" fillId="5" borderId="7" xfId="0" applyNumberFormat="1" applyFont="1" applyFill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43" fontId="4" fillId="5" borderId="3" xfId="0" applyNumberFormat="1" applyFont="1" applyFill="1" applyBorder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 wrapText="1"/>
    </xf>
    <xf numFmtId="43" fontId="2" fillId="0" borderId="0" xfId="0" applyNumberFormat="1" applyFont="1">
      <alignment vertical="center"/>
    </xf>
    <xf numFmtId="43" fontId="4" fillId="0" borderId="0" xfId="0" applyNumberFormat="1" applyFont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 wrapText="1"/>
    </xf>
    <xf numFmtId="43" fontId="13" fillId="6" borderId="7" xfId="0" applyNumberFormat="1" applyFont="1" applyFill="1" applyBorder="1" applyAlignment="1">
      <alignment horizontal="center" vertical="center" wrapText="1"/>
    </xf>
    <xf numFmtId="43" fontId="13" fillId="6" borderId="7" xfId="0" applyNumberFormat="1" applyFont="1" applyFill="1" applyBorder="1" applyAlignment="1">
      <alignment horizontal="right" vertical="center" wrapText="1"/>
    </xf>
    <xf numFmtId="178" fontId="11" fillId="6" borderId="7" xfId="0" applyNumberFormat="1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 wrapText="1"/>
    </xf>
    <xf numFmtId="43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178" fontId="1" fillId="0" borderId="0" xfId="0" applyNumberFormat="1" applyFont="1">
      <alignment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4" fontId="13" fillId="6" borderId="7" xfId="0" applyNumberFormat="1" applyFont="1" applyFill="1" applyBorder="1" applyAlignment="1">
      <alignment horizontal="right" vertical="center" wrapText="1"/>
    </xf>
    <xf numFmtId="14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20">
    <dxf>
      <font>
        <i val="0"/>
        <strike val="0"/>
      </font>
      <fill>
        <patternFill patternType="solid">
          <bgColor rgb="FFFF0000"/>
        </patternFill>
      </fill>
    </dxf>
    <dxf>
      <font>
        <color rgb="FF383838"/>
      </font>
      <fill>
        <patternFill patternType="solid">
          <bgColor rgb="FFFF0000"/>
        </patternFill>
      </fill>
    </dxf>
    <dxf>
      <font>
        <color rgb="FF383838"/>
      </font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9"/>
  <sheetViews>
    <sheetView tabSelected="1" topLeftCell="X1" workbookViewId="0">
      <selection activeCell="AL38" sqref="AL38"/>
    </sheetView>
  </sheetViews>
  <sheetFormatPr defaultColWidth="18.9375" defaultRowHeight="16.5" customHeight="1" x14ac:dyDescent="0.4"/>
  <cols>
    <col min="1" max="1" width="6.8125" style="4" customWidth="1"/>
    <col min="2" max="3" width="11.5625" style="5" customWidth="1"/>
    <col min="4" max="4" width="12.75" style="6" customWidth="1"/>
    <col min="5" max="5" width="25.375" style="7" customWidth="1"/>
    <col min="6" max="6" width="25.5" style="7" customWidth="1"/>
    <col min="7" max="7" width="18.25" style="8" customWidth="1"/>
    <col min="8" max="8" width="7.9375" style="8" customWidth="1"/>
    <col min="9" max="9" width="15.125" style="9" customWidth="1"/>
    <col min="10" max="10" width="11.3125" style="8" customWidth="1"/>
    <col min="11" max="11" width="17.5" style="10" customWidth="1"/>
    <col min="12" max="12" width="13" style="10" customWidth="1"/>
    <col min="13" max="13" width="14.4375" style="10" customWidth="1"/>
    <col min="14" max="14" width="8.4375" style="10" customWidth="1"/>
    <col min="15" max="15" width="13.5625" style="10" customWidth="1"/>
    <col min="16" max="17" width="8.8125" style="10" customWidth="1"/>
    <col min="18" max="19" width="14.4375" style="6" customWidth="1"/>
    <col min="20" max="20" width="13.625" style="6" customWidth="1"/>
    <col min="21" max="21" width="18.9375" style="11" customWidth="1"/>
    <col min="22" max="22" width="19.5625" style="12" customWidth="1"/>
    <col min="23" max="23" width="13.625" style="9" customWidth="1"/>
    <col min="24" max="24" width="17.0625" style="12" customWidth="1"/>
    <col min="25" max="25" width="16.5625" style="8" customWidth="1"/>
    <col min="26" max="26" width="16.5" style="8" customWidth="1"/>
    <col min="27" max="27" width="15.25" style="10" customWidth="1"/>
    <col min="28" max="28" width="18.9375" style="8" customWidth="1"/>
    <col min="29" max="29" width="12.25" style="10" customWidth="1"/>
    <col min="30" max="30" width="19" style="8" customWidth="1"/>
    <col min="31" max="31" width="12.6875" style="6" customWidth="1"/>
    <col min="32" max="32" width="13.625" style="8" customWidth="1"/>
    <col min="33" max="33" width="12" style="6" customWidth="1"/>
    <col min="34" max="34" width="12.0625" style="8" customWidth="1"/>
    <col min="35" max="35" width="10.125" style="6" customWidth="1"/>
    <col min="36" max="36" width="14.5" style="8" customWidth="1"/>
    <col min="37" max="37" width="11.125" style="6" customWidth="1"/>
    <col min="38" max="38" width="21.375" style="6" customWidth="1"/>
    <col min="39" max="39" width="18.9375" style="13" hidden="1" customWidth="1"/>
    <col min="40" max="49" width="18.9375" style="14" hidden="1" customWidth="1"/>
    <col min="50" max="50" width="18.9375" style="14" customWidth="1"/>
    <col min="51" max="16384" width="18.9375" style="14"/>
  </cols>
  <sheetData>
    <row r="1" spans="1:256" s="1" customFormat="1" ht="84" customHeight="1" x14ac:dyDescent="0.4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2"/>
      <c r="L1" s="62"/>
      <c r="M1" s="62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16"/>
      <c r="AA1" s="17"/>
      <c r="AB1" s="16"/>
      <c r="AC1" s="17"/>
      <c r="AD1" s="16"/>
      <c r="AE1" s="18"/>
      <c r="AF1" s="16"/>
      <c r="AG1" s="18"/>
      <c r="AH1" s="16"/>
      <c r="AI1" s="18"/>
      <c r="AJ1" s="16"/>
      <c r="AK1" s="18"/>
      <c r="AL1" s="18"/>
      <c r="AM1" s="19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</row>
    <row r="2" spans="1:256" s="1" customFormat="1" ht="25.05" customHeight="1" x14ac:dyDescent="0.4">
      <c r="A2" s="20" t="s">
        <v>1</v>
      </c>
      <c r="B2" s="21" t="s">
        <v>2</v>
      </c>
      <c r="C2" s="22"/>
      <c r="D2" s="23"/>
      <c r="E2" s="24"/>
      <c r="F2" s="24"/>
      <c r="G2" s="25"/>
      <c r="H2" s="25"/>
      <c r="I2" s="26"/>
      <c r="J2" s="15"/>
      <c r="K2" s="23"/>
      <c r="L2" s="23"/>
      <c r="M2" s="23"/>
      <c r="N2" s="23"/>
      <c r="O2" s="23"/>
      <c r="P2" s="23"/>
      <c r="Q2" s="23"/>
      <c r="R2" s="23"/>
      <c r="S2" s="23"/>
      <c r="T2" s="23"/>
      <c r="U2" s="27"/>
      <c r="V2" s="23"/>
      <c r="W2" s="26"/>
      <c r="X2" s="23"/>
      <c r="Y2" s="28" t="s">
        <v>3</v>
      </c>
      <c r="Z2" s="23"/>
      <c r="AA2" s="23"/>
      <c r="AB2" s="16"/>
      <c r="AC2" s="17"/>
      <c r="AD2" s="16"/>
      <c r="AE2" s="18"/>
      <c r="AF2" s="16"/>
      <c r="AG2" s="18"/>
      <c r="AH2" s="16"/>
      <c r="AI2" s="18"/>
      <c r="AJ2" s="16"/>
      <c r="AK2" s="18"/>
      <c r="AL2" s="18"/>
      <c r="AM2" s="19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</row>
    <row r="3" spans="1:256" s="1" customFormat="1" ht="39" customHeight="1" x14ac:dyDescent="0.4">
      <c r="A3" s="66" t="s">
        <v>4</v>
      </c>
      <c r="B3" s="66" t="s">
        <v>5</v>
      </c>
      <c r="C3" s="68" t="s">
        <v>6</v>
      </c>
      <c r="D3" s="66" t="s">
        <v>7</v>
      </c>
      <c r="E3" s="68" t="s">
        <v>8</v>
      </c>
      <c r="F3" s="68" t="s">
        <v>9</v>
      </c>
      <c r="G3" s="68" t="s">
        <v>10</v>
      </c>
      <c r="H3" s="68" t="s">
        <v>11</v>
      </c>
      <c r="I3" s="68" t="s">
        <v>12</v>
      </c>
      <c r="J3" s="66" t="s">
        <v>13</v>
      </c>
      <c r="K3" s="68" t="s">
        <v>14</v>
      </c>
      <c r="L3" s="68" t="s">
        <v>15</v>
      </c>
      <c r="M3" s="68" t="s">
        <v>16</v>
      </c>
      <c r="N3" s="68" t="s">
        <v>17</v>
      </c>
      <c r="O3" s="63" t="s">
        <v>18</v>
      </c>
      <c r="P3" s="64"/>
      <c r="Q3" s="65"/>
      <c r="R3" s="66" t="s">
        <v>19</v>
      </c>
      <c r="S3" s="66" t="s">
        <v>20</v>
      </c>
      <c r="T3" s="68" t="s">
        <v>21</v>
      </c>
      <c r="U3" s="68" t="s">
        <v>22</v>
      </c>
      <c r="V3" s="66" t="s">
        <v>23</v>
      </c>
      <c r="W3" s="66" t="s">
        <v>24</v>
      </c>
      <c r="X3" s="68" t="s">
        <v>25</v>
      </c>
      <c r="Y3" s="68" t="s">
        <v>26</v>
      </c>
      <c r="Z3" s="68" t="s">
        <v>27</v>
      </c>
      <c r="AA3" s="68" t="s">
        <v>28</v>
      </c>
      <c r="AB3" s="66" t="s">
        <v>29</v>
      </c>
      <c r="AC3" s="66" t="s">
        <v>28</v>
      </c>
      <c r="AD3" s="66" t="s">
        <v>29</v>
      </c>
      <c r="AE3" s="66" t="s">
        <v>28</v>
      </c>
      <c r="AF3" s="66" t="s">
        <v>29</v>
      </c>
      <c r="AG3" s="66" t="s">
        <v>28</v>
      </c>
      <c r="AH3" s="66" t="s">
        <v>29</v>
      </c>
      <c r="AI3" s="66" t="s">
        <v>28</v>
      </c>
      <c r="AJ3" s="66" t="s">
        <v>29</v>
      </c>
      <c r="AK3" s="66" t="s">
        <v>28</v>
      </c>
      <c r="AL3" s="66" t="s">
        <v>29</v>
      </c>
      <c r="AM3" s="29" t="s">
        <v>30</v>
      </c>
      <c r="AN3" s="29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</row>
    <row r="4" spans="1:256" s="1" customFormat="1" ht="38" customHeight="1" x14ac:dyDescent="0.4">
      <c r="A4" s="67"/>
      <c r="B4" s="67"/>
      <c r="C4" s="69"/>
      <c r="D4" s="67"/>
      <c r="E4" s="69"/>
      <c r="F4" s="69"/>
      <c r="G4" s="69"/>
      <c r="H4" s="69"/>
      <c r="I4" s="69"/>
      <c r="J4" s="67"/>
      <c r="K4" s="69"/>
      <c r="L4" s="69"/>
      <c r="M4" s="69"/>
      <c r="N4" s="69"/>
      <c r="O4" s="30" t="s">
        <v>31</v>
      </c>
      <c r="P4" s="30" t="s">
        <v>32</v>
      </c>
      <c r="Q4" s="30" t="s">
        <v>33</v>
      </c>
      <c r="R4" s="67"/>
      <c r="S4" s="67"/>
      <c r="T4" s="69"/>
      <c r="U4" s="69"/>
      <c r="V4" s="67"/>
      <c r="W4" s="67"/>
      <c r="X4" s="69"/>
      <c r="Y4" s="69"/>
      <c r="Z4" s="69"/>
      <c r="AA4" s="69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29"/>
      <c r="AN4" s="31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</row>
    <row r="5" spans="1:256" s="2" customFormat="1" ht="30.75" customHeight="1" x14ac:dyDescent="0.4">
      <c r="A5" s="32">
        <f>SUBTOTAL(103,$E$5:E5)</f>
        <v>1</v>
      </c>
      <c r="B5" s="33" t="s">
        <v>35</v>
      </c>
      <c r="C5" s="33" t="s">
        <v>36</v>
      </c>
      <c r="D5" s="34" t="s">
        <v>37</v>
      </c>
      <c r="E5" s="35" t="s">
        <v>38</v>
      </c>
      <c r="F5" s="34" t="s">
        <v>39</v>
      </c>
      <c r="G5" s="36">
        <v>487391.19</v>
      </c>
      <c r="H5" s="36">
        <v>0.13</v>
      </c>
      <c r="I5" s="37">
        <v>431319.64</v>
      </c>
      <c r="J5" s="38">
        <v>24369.56</v>
      </c>
      <c r="K5" s="38">
        <v>45965</v>
      </c>
      <c r="L5" s="38">
        <v>45965</v>
      </c>
      <c r="M5" s="38">
        <v>46330</v>
      </c>
      <c r="N5" s="38" t="s">
        <v>40</v>
      </c>
      <c r="O5" s="38"/>
      <c r="P5" s="38"/>
      <c r="Q5" s="38"/>
      <c r="R5" s="34" t="s">
        <v>41</v>
      </c>
      <c r="S5" s="34" t="s">
        <v>42</v>
      </c>
      <c r="T5" s="34" t="s">
        <v>34</v>
      </c>
      <c r="U5" s="39"/>
      <c r="V5" s="40"/>
      <c r="W5" s="37"/>
      <c r="X5" s="41"/>
      <c r="Y5" s="42">
        <f>G5+J5-Z5</f>
        <v>24369.559999999998</v>
      </c>
      <c r="Z5" s="43">
        <f>AA5+AC5+AE5+AG5+AI5+AK5</f>
        <v>487391.19</v>
      </c>
      <c r="AA5" s="44">
        <v>487391.19</v>
      </c>
      <c r="AB5" s="45">
        <v>45995</v>
      </c>
      <c r="AC5" s="44"/>
      <c r="AD5" s="45"/>
      <c r="AE5" s="44"/>
      <c r="AF5" s="34"/>
      <c r="AG5" s="44"/>
      <c r="AH5" s="34"/>
      <c r="AI5" s="44"/>
      <c r="AJ5" s="34"/>
      <c r="AK5" s="46"/>
      <c r="AL5" s="34"/>
      <c r="AM5" s="47"/>
      <c r="AN5" s="48"/>
      <c r="AO5" s="49"/>
      <c r="AP5" s="49"/>
      <c r="AQ5" s="50"/>
      <c r="AR5" s="50"/>
      <c r="AS5" s="49"/>
      <c r="AT5" s="49"/>
      <c r="AU5" s="49"/>
      <c r="AV5" s="49"/>
      <c r="AW5" s="48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</row>
    <row r="6" spans="1:256" s="2" customFormat="1" ht="30.75" customHeight="1" x14ac:dyDescent="0.4">
      <c r="A6" s="32">
        <f>SUBTOTAL(103,$E$5:E6)</f>
        <v>2</v>
      </c>
      <c r="B6" s="33" t="s">
        <v>43</v>
      </c>
      <c r="C6" s="33" t="s">
        <v>44</v>
      </c>
      <c r="D6" s="34" t="s">
        <v>45</v>
      </c>
      <c r="E6" s="35" t="s">
        <v>46</v>
      </c>
      <c r="F6" s="34" t="s">
        <v>47</v>
      </c>
      <c r="G6" s="36">
        <v>1007733.41</v>
      </c>
      <c r="H6" s="36">
        <v>0.06</v>
      </c>
      <c r="I6" s="37">
        <v>950691.9</v>
      </c>
      <c r="J6" s="38">
        <v>50386.67</v>
      </c>
      <c r="K6" s="38">
        <v>46067</v>
      </c>
      <c r="L6" s="38">
        <v>46067</v>
      </c>
      <c r="M6" s="38">
        <v>46432</v>
      </c>
      <c r="N6" s="38" t="s">
        <v>48</v>
      </c>
      <c r="O6" s="38"/>
      <c r="P6" s="38"/>
      <c r="Q6" s="38"/>
      <c r="R6" s="34" t="s">
        <v>49</v>
      </c>
      <c r="S6" s="34" t="s">
        <v>50</v>
      </c>
      <c r="T6" s="34" t="s">
        <v>34</v>
      </c>
      <c r="U6" s="39"/>
      <c r="V6" s="40"/>
      <c r="W6" s="37"/>
      <c r="X6" s="41"/>
      <c r="Y6" s="42">
        <f>G6+J6-Z6</f>
        <v>151160.01</v>
      </c>
      <c r="Z6" s="43">
        <f>AA6+AC6+AE6+AG6+AI6+AK6</f>
        <v>906960.07000000007</v>
      </c>
      <c r="AA6" s="44">
        <v>302320.02</v>
      </c>
      <c r="AB6" s="45">
        <v>46082</v>
      </c>
      <c r="AC6" s="44">
        <v>604640.05000000005</v>
      </c>
      <c r="AD6" s="45">
        <v>46127</v>
      </c>
      <c r="AE6" s="44"/>
      <c r="AF6" s="34"/>
      <c r="AG6" s="44"/>
      <c r="AH6" s="34"/>
      <c r="AI6" s="44"/>
      <c r="AJ6" s="34"/>
      <c r="AK6" s="46"/>
      <c r="AL6" s="34"/>
      <c r="AM6" s="47"/>
      <c r="AN6" s="48"/>
      <c r="AO6" s="49"/>
      <c r="AP6" s="49"/>
      <c r="AQ6" s="50"/>
      <c r="AR6" s="50"/>
      <c r="AS6" s="49"/>
      <c r="AT6" s="49"/>
      <c r="AU6" s="49"/>
      <c r="AV6" s="49"/>
      <c r="AW6" s="48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</row>
    <row r="7" spans="1:256" s="3" customFormat="1" ht="22.05" customHeight="1" x14ac:dyDescent="0.4">
      <c r="A7" s="51"/>
      <c r="B7" s="51" t="s">
        <v>51</v>
      </c>
      <c r="C7" s="51" t="s">
        <v>52</v>
      </c>
      <c r="D7" s="52" t="s">
        <v>53</v>
      </c>
      <c r="E7" s="52" t="s">
        <v>54</v>
      </c>
      <c r="F7" s="52" t="s">
        <v>47</v>
      </c>
      <c r="G7" s="53">
        <v>179208.68</v>
      </c>
      <c r="H7" s="53">
        <v>0.13</v>
      </c>
      <c r="I7" s="54">
        <v>158591.75</v>
      </c>
      <c r="J7" s="53">
        <v>8960.43</v>
      </c>
      <c r="K7" s="55">
        <v>46013</v>
      </c>
      <c r="L7" s="55">
        <v>46013</v>
      </c>
      <c r="M7" s="55">
        <v>46378</v>
      </c>
      <c r="N7" s="56" t="s">
        <v>40</v>
      </c>
      <c r="O7" s="56"/>
      <c r="P7" s="56"/>
      <c r="Q7" s="56"/>
      <c r="R7" s="52" t="s">
        <v>41</v>
      </c>
      <c r="S7" s="52" t="s">
        <v>42</v>
      </c>
      <c r="T7" s="52" t="s">
        <v>34</v>
      </c>
      <c r="U7" s="57"/>
      <c r="V7" s="56"/>
      <c r="W7" s="54"/>
      <c r="X7" s="58"/>
      <c r="Y7" s="54">
        <f>SUM(Y5:Y6)</f>
        <v>175529.57</v>
      </c>
      <c r="Z7" s="54">
        <f>SUM(Z5:Z6)</f>
        <v>1394351.26</v>
      </c>
      <c r="AA7" s="54">
        <v>179208.68</v>
      </c>
      <c r="AB7" s="70">
        <v>46043</v>
      </c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</row>
    <row r="8" spans="1:256" ht="16.5" customHeight="1" x14ac:dyDescent="0.4">
      <c r="B8" s="5" t="s">
        <v>55</v>
      </c>
      <c r="C8" s="5" t="s">
        <v>56</v>
      </c>
      <c r="D8" s="6" t="s">
        <v>45</v>
      </c>
      <c r="E8" s="7" t="s">
        <v>57</v>
      </c>
      <c r="F8" s="7" t="s">
        <v>39</v>
      </c>
      <c r="G8" s="8">
        <v>1037615.36</v>
      </c>
      <c r="H8" s="8">
        <v>0.06</v>
      </c>
      <c r="I8" s="9">
        <v>978882.42</v>
      </c>
      <c r="J8" s="8">
        <v>51880.77</v>
      </c>
      <c r="K8" s="10">
        <v>45903</v>
      </c>
      <c r="L8" s="10">
        <v>45903</v>
      </c>
      <c r="M8" s="10">
        <v>46268</v>
      </c>
      <c r="N8" s="10" t="s">
        <v>40</v>
      </c>
      <c r="R8" s="6" t="s">
        <v>49</v>
      </c>
      <c r="S8" s="6" t="s">
        <v>50</v>
      </c>
      <c r="T8" s="6" t="s">
        <v>34</v>
      </c>
      <c r="AA8" s="10">
        <v>1037615.36</v>
      </c>
      <c r="AB8" s="71">
        <v>45933</v>
      </c>
    </row>
    <row r="9" spans="1:256" ht="16.5" customHeight="1" x14ac:dyDescent="0.4">
      <c r="B9" s="5" t="s">
        <v>58</v>
      </c>
      <c r="C9" s="5" t="s">
        <v>59</v>
      </c>
      <c r="D9" s="6" t="s">
        <v>45</v>
      </c>
      <c r="E9" s="7" t="s">
        <v>60</v>
      </c>
      <c r="F9" s="7" t="s">
        <v>47</v>
      </c>
      <c r="G9" s="8">
        <v>138391.25</v>
      </c>
      <c r="H9" s="8">
        <v>0.06</v>
      </c>
      <c r="I9" s="9">
        <v>130557.78</v>
      </c>
      <c r="J9" s="8">
        <v>6919.56</v>
      </c>
      <c r="K9" s="10">
        <v>46072</v>
      </c>
      <c r="L9" s="10">
        <v>46072</v>
      </c>
      <c r="M9" s="10">
        <v>46437</v>
      </c>
      <c r="N9" s="10" t="s">
        <v>48</v>
      </c>
      <c r="R9" s="6" t="s">
        <v>41</v>
      </c>
      <c r="S9" s="6" t="s">
        <v>42</v>
      </c>
      <c r="T9" s="6" t="s">
        <v>34</v>
      </c>
      <c r="AA9" s="10">
        <v>41517.379999999997</v>
      </c>
      <c r="AB9" s="71">
        <v>46087</v>
      </c>
    </row>
    <row r="10" spans="1:256" ht="16.5" customHeight="1" x14ac:dyDescent="0.4">
      <c r="B10" s="5" t="s">
        <v>61</v>
      </c>
      <c r="C10" s="5" t="s">
        <v>62</v>
      </c>
      <c r="D10" s="6" t="s">
        <v>37</v>
      </c>
      <c r="E10" s="7" t="s">
        <v>63</v>
      </c>
      <c r="F10" s="7" t="s">
        <v>64</v>
      </c>
      <c r="G10" s="8">
        <v>209173.31</v>
      </c>
      <c r="H10" s="8">
        <v>0.13</v>
      </c>
      <c r="I10" s="9">
        <v>185109.12</v>
      </c>
      <c r="J10" s="8">
        <v>10458.67</v>
      </c>
      <c r="K10" s="10">
        <v>46029</v>
      </c>
      <c r="L10" s="10">
        <v>46029</v>
      </c>
      <c r="M10" s="10">
        <v>46394</v>
      </c>
      <c r="N10" s="10" t="s">
        <v>40</v>
      </c>
      <c r="R10" s="6" t="s">
        <v>41</v>
      </c>
      <c r="S10" s="6" t="s">
        <v>42</v>
      </c>
      <c r="T10" s="6" t="s">
        <v>34</v>
      </c>
      <c r="AA10" s="10">
        <v>209173.31</v>
      </c>
      <c r="AB10" s="71">
        <v>46059</v>
      </c>
    </row>
    <row r="11" spans="1:256" ht="16.5" customHeight="1" x14ac:dyDescent="0.4">
      <c r="B11" s="5" t="s">
        <v>65</v>
      </c>
      <c r="C11" s="5" t="s">
        <v>66</v>
      </c>
      <c r="D11" s="6" t="s">
        <v>53</v>
      </c>
      <c r="E11" s="7" t="s">
        <v>67</v>
      </c>
      <c r="F11" s="7" t="s">
        <v>39</v>
      </c>
      <c r="G11" s="8">
        <v>87942.83</v>
      </c>
      <c r="H11" s="8">
        <v>0.13</v>
      </c>
      <c r="I11" s="9">
        <v>77825.509999999995</v>
      </c>
      <c r="J11" s="8">
        <v>4397.1400000000003</v>
      </c>
      <c r="K11" s="10">
        <v>46050</v>
      </c>
      <c r="L11" s="10">
        <v>46050</v>
      </c>
      <c r="M11" s="10">
        <v>46415</v>
      </c>
      <c r="N11" s="10" t="s">
        <v>40</v>
      </c>
      <c r="R11" s="6" t="s">
        <v>41</v>
      </c>
      <c r="S11" s="6" t="s">
        <v>42</v>
      </c>
      <c r="T11" s="6" t="s">
        <v>34</v>
      </c>
      <c r="AA11" s="10">
        <v>87942.83</v>
      </c>
      <c r="AB11" s="71">
        <v>46080</v>
      </c>
    </row>
    <row r="12" spans="1:256" ht="16.5" customHeight="1" x14ac:dyDescent="0.4">
      <c r="B12" s="5" t="s">
        <v>68</v>
      </c>
      <c r="C12" s="5" t="s">
        <v>69</v>
      </c>
      <c r="D12" s="6" t="s">
        <v>37</v>
      </c>
      <c r="E12" s="7" t="s">
        <v>70</v>
      </c>
      <c r="F12" s="7" t="s">
        <v>71</v>
      </c>
      <c r="G12" s="8">
        <v>739402.35</v>
      </c>
      <c r="H12" s="8">
        <v>0.13</v>
      </c>
      <c r="I12" s="9">
        <v>654338.36</v>
      </c>
      <c r="J12" s="8">
        <v>36970.120000000003</v>
      </c>
      <c r="K12" s="10">
        <v>46036</v>
      </c>
      <c r="L12" s="10">
        <v>46036</v>
      </c>
      <c r="M12" s="10">
        <v>46401</v>
      </c>
      <c r="N12" s="10" t="s">
        <v>40</v>
      </c>
      <c r="R12" s="6" t="s">
        <v>49</v>
      </c>
      <c r="S12" s="6" t="s">
        <v>50</v>
      </c>
      <c r="T12" s="6" t="s">
        <v>34</v>
      </c>
      <c r="AA12" s="10">
        <v>739402.35</v>
      </c>
      <c r="AB12" s="71">
        <v>46066</v>
      </c>
    </row>
    <row r="13" spans="1:256" ht="16.5" customHeight="1" x14ac:dyDescent="0.4">
      <c r="B13" s="5" t="s">
        <v>72</v>
      </c>
      <c r="C13" s="5" t="s">
        <v>73</v>
      </c>
      <c r="D13" s="6" t="s">
        <v>37</v>
      </c>
      <c r="E13" s="7" t="s">
        <v>74</v>
      </c>
      <c r="F13" s="7" t="s">
        <v>75</v>
      </c>
      <c r="G13" s="8">
        <v>1943123.58</v>
      </c>
      <c r="H13" s="8">
        <v>0.13</v>
      </c>
      <c r="I13" s="9">
        <v>1719578.39</v>
      </c>
      <c r="J13" s="8">
        <v>97156.18</v>
      </c>
      <c r="K13" s="10">
        <v>45949</v>
      </c>
      <c r="L13" s="10">
        <v>45949</v>
      </c>
      <c r="M13" s="10">
        <v>46314</v>
      </c>
      <c r="N13" s="10" t="s">
        <v>48</v>
      </c>
      <c r="R13" s="6" t="s">
        <v>49</v>
      </c>
      <c r="S13" s="6" t="s">
        <v>50</v>
      </c>
      <c r="T13" s="6" t="s">
        <v>34</v>
      </c>
    </row>
    <row r="14" spans="1:256" ht="16.5" customHeight="1" x14ac:dyDescent="0.4">
      <c r="B14" s="5" t="s">
        <v>76</v>
      </c>
      <c r="C14" s="5" t="s">
        <v>77</v>
      </c>
      <c r="D14" s="6" t="s">
        <v>53</v>
      </c>
      <c r="E14" s="7" t="s">
        <v>78</v>
      </c>
      <c r="F14" s="7" t="s">
        <v>75</v>
      </c>
      <c r="G14" s="8">
        <v>498815.61</v>
      </c>
      <c r="H14" s="8">
        <v>0.13</v>
      </c>
      <c r="I14" s="9">
        <v>441429.74</v>
      </c>
      <c r="J14" s="8">
        <v>24940.78</v>
      </c>
      <c r="K14" s="10">
        <v>46156</v>
      </c>
      <c r="L14" s="10">
        <v>46156</v>
      </c>
      <c r="M14" s="10">
        <v>46521</v>
      </c>
      <c r="N14" s="10" t="s">
        <v>48</v>
      </c>
      <c r="R14" s="6" t="s">
        <v>79</v>
      </c>
      <c r="S14" s="6" t="s">
        <v>42</v>
      </c>
      <c r="T14" s="6" t="s">
        <v>34</v>
      </c>
      <c r="AC14" s="10">
        <v>299289.37</v>
      </c>
      <c r="AD14" s="71">
        <v>46216</v>
      </c>
    </row>
    <row r="15" spans="1:256" ht="16.5" customHeight="1" x14ac:dyDescent="0.4">
      <c r="B15" s="5" t="s">
        <v>80</v>
      </c>
      <c r="C15" s="5" t="s">
        <v>81</v>
      </c>
      <c r="D15" s="6" t="s">
        <v>45</v>
      </c>
      <c r="E15" s="7" t="s">
        <v>82</v>
      </c>
      <c r="F15" s="7" t="s">
        <v>75</v>
      </c>
      <c r="G15" s="8">
        <v>505834.54</v>
      </c>
      <c r="H15" s="8">
        <v>0.06</v>
      </c>
      <c r="I15" s="9">
        <v>477202.4</v>
      </c>
      <c r="J15" s="8">
        <v>25291.73</v>
      </c>
      <c r="K15" s="10">
        <v>45931</v>
      </c>
      <c r="L15" s="10">
        <v>45931</v>
      </c>
      <c r="M15" s="10">
        <v>46296</v>
      </c>
      <c r="N15" s="10" t="s">
        <v>48</v>
      </c>
      <c r="R15" s="6" t="s">
        <v>41</v>
      </c>
      <c r="S15" s="6" t="s">
        <v>50</v>
      </c>
      <c r="T15" s="6" t="s">
        <v>34</v>
      </c>
      <c r="AA15" s="10">
        <v>151750.35999999999</v>
      </c>
      <c r="AB15" s="71">
        <v>45946</v>
      </c>
    </row>
    <row r="16" spans="1:256" ht="16.5" customHeight="1" x14ac:dyDescent="0.4">
      <c r="B16" s="5" t="s">
        <v>83</v>
      </c>
      <c r="C16" s="5" t="s">
        <v>84</v>
      </c>
      <c r="D16" s="6" t="s">
        <v>53</v>
      </c>
      <c r="E16" s="7" t="s">
        <v>85</v>
      </c>
      <c r="F16" s="7" t="s">
        <v>47</v>
      </c>
      <c r="G16" s="8">
        <v>1217274.04</v>
      </c>
      <c r="H16" s="8">
        <v>0.13</v>
      </c>
      <c r="I16" s="9">
        <v>1077233.6599999999</v>
      </c>
      <c r="J16" s="8">
        <v>60863.7</v>
      </c>
      <c r="K16" s="10">
        <v>45924</v>
      </c>
      <c r="L16" s="10">
        <v>45924</v>
      </c>
      <c r="M16" s="10">
        <v>46289</v>
      </c>
      <c r="N16" s="10" t="s">
        <v>40</v>
      </c>
      <c r="R16" s="6" t="s">
        <v>49</v>
      </c>
      <c r="S16" s="6" t="s">
        <v>50</v>
      </c>
      <c r="T16" s="6" t="s">
        <v>34</v>
      </c>
      <c r="AA16" s="10">
        <v>1217274.04</v>
      </c>
      <c r="AB16" s="71">
        <v>45954</v>
      </c>
    </row>
    <row r="17" spans="2:30" ht="16.5" customHeight="1" x14ac:dyDescent="0.4">
      <c r="B17" s="5" t="s">
        <v>86</v>
      </c>
      <c r="C17" s="5" t="s">
        <v>87</v>
      </c>
      <c r="D17" s="6" t="s">
        <v>45</v>
      </c>
      <c r="E17" s="7" t="s">
        <v>88</v>
      </c>
      <c r="F17" s="7" t="s">
        <v>71</v>
      </c>
      <c r="G17" s="8">
        <v>1028483.6</v>
      </c>
      <c r="H17" s="8">
        <v>0.06</v>
      </c>
      <c r="I17" s="9">
        <v>970267.55</v>
      </c>
      <c r="J17" s="8">
        <v>51424.18</v>
      </c>
      <c r="K17" s="10">
        <v>46092</v>
      </c>
      <c r="L17" s="10">
        <v>46092</v>
      </c>
      <c r="M17" s="10">
        <v>46457</v>
      </c>
      <c r="N17" s="10" t="s">
        <v>40</v>
      </c>
      <c r="R17" s="6" t="s">
        <v>41</v>
      </c>
      <c r="S17" s="6" t="s">
        <v>50</v>
      </c>
      <c r="T17" s="6" t="s">
        <v>34</v>
      </c>
      <c r="AA17" s="10">
        <v>1028483.6</v>
      </c>
      <c r="AB17" s="71">
        <v>46122</v>
      </c>
    </row>
    <row r="18" spans="2:30" ht="16.5" customHeight="1" x14ac:dyDescent="0.4">
      <c r="B18" s="5" t="s">
        <v>89</v>
      </c>
      <c r="C18" s="5" t="s">
        <v>90</v>
      </c>
      <c r="D18" s="6" t="s">
        <v>45</v>
      </c>
      <c r="E18" s="7" t="s">
        <v>91</v>
      </c>
      <c r="F18" s="7" t="s">
        <v>47</v>
      </c>
      <c r="G18" s="8">
        <v>1314434.3</v>
      </c>
      <c r="H18" s="8">
        <v>0.06</v>
      </c>
      <c r="I18" s="9">
        <v>1240032.3600000001</v>
      </c>
      <c r="J18" s="8">
        <v>65721.72</v>
      </c>
      <c r="K18" s="10">
        <v>46074</v>
      </c>
      <c r="L18" s="10">
        <v>46074</v>
      </c>
      <c r="M18" s="10">
        <v>46439</v>
      </c>
      <c r="N18" s="10" t="s">
        <v>40</v>
      </c>
      <c r="R18" s="6" t="s">
        <v>49</v>
      </c>
      <c r="S18" s="6" t="s">
        <v>50</v>
      </c>
      <c r="T18" s="6" t="s">
        <v>34</v>
      </c>
      <c r="AA18" s="10">
        <v>1314434.3</v>
      </c>
      <c r="AB18" s="71">
        <v>46104</v>
      </c>
    </row>
    <row r="19" spans="2:30" ht="16.5" customHeight="1" x14ac:dyDescent="0.4">
      <c r="B19" s="5" t="s">
        <v>92</v>
      </c>
      <c r="C19" s="5" t="s">
        <v>93</v>
      </c>
      <c r="D19" s="6" t="s">
        <v>94</v>
      </c>
      <c r="E19" s="7" t="s">
        <v>95</v>
      </c>
      <c r="F19" s="7" t="s">
        <v>75</v>
      </c>
      <c r="G19" s="8">
        <v>1088880.18</v>
      </c>
      <c r="H19" s="8">
        <v>0.13</v>
      </c>
      <c r="I19" s="9">
        <v>963610.78</v>
      </c>
      <c r="J19" s="8">
        <v>54444.01</v>
      </c>
      <c r="K19" s="10">
        <v>45885</v>
      </c>
      <c r="L19" s="10">
        <v>45885</v>
      </c>
      <c r="M19" s="10">
        <v>46250</v>
      </c>
      <c r="N19" s="10" t="s">
        <v>48</v>
      </c>
      <c r="R19" s="6" t="s">
        <v>41</v>
      </c>
      <c r="S19" s="6" t="s">
        <v>50</v>
      </c>
      <c r="T19" s="6" t="s">
        <v>34</v>
      </c>
      <c r="AA19" s="10">
        <v>326664.05</v>
      </c>
      <c r="AB19" s="71">
        <v>45900</v>
      </c>
      <c r="AC19" s="10">
        <v>653328.11</v>
      </c>
      <c r="AD19" s="71">
        <v>45945</v>
      </c>
    </row>
  </sheetData>
  <sheetProtection formatCells="0" formatColumns="0" formatRows="0" insertColumns="0" insertRows="0" insertHyperlinks="0" deleteColumns="0" deleteRows="0" sort="0" autoFilter="0" pivotTables="0"/>
  <mergeCells count="37">
    <mergeCell ref="AL3:AL4"/>
    <mergeCell ref="AG3:AG4"/>
    <mergeCell ref="AH3:AH4"/>
    <mergeCell ref="AI3:AI4"/>
    <mergeCell ref="AJ3:AJ4"/>
    <mergeCell ref="AK3:AK4"/>
    <mergeCell ref="AB3:AB4"/>
    <mergeCell ref="AC3:AC4"/>
    <mergeCell ref="AD3:AD4"/>
    <mergeCell ref="AE3:AE4"/>
    <mergeCell ref="AF3:AF4"/>
    <mergeCell ref="W3:W4"/>
    <mergeCell ref="X3:X4"/>
    <mergeCell ref="Y3:Y4"/>
    <mergeCell ref="Z3:Z4"/>
    <mergeCell ref="AA3:AA4"/>
    <mergeCell ref="R3:R4"/>
    <mergeCell ref="S3:S4"/>
    <mergeCell ref="T3:T4"/>
    <mergeCell ref="U3:U4"/>
    <mergeCell ref="V3:V4"/>
    <mergeCell ref="A1:Y1"/>
    <mergeCell ref="O3: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14" type="noConversion"/>
  <conditionalFormatting sqref="X1:X2">
    <cfRule type="containsText" dxfId="2" priority="3" operator="containsText" text="超期">
      <formula>NOT(ISERROR(SEARCH("超期",X1)))</formula>
    </cfRule>
  </conditionalFormatting>
  <conditionalFormatting sqref="X5:X65431">
    <cfRule type="containsText" dxfId="1" priority="2" operator="containsText" text="超期">
      <formula>NOT(ISERROR(SEARCH("超期",X5)))</formula>
    </cfRule>
  </conditionalFormatting>
  <conditionalFormatting sqref="Y1:Y2 Y5:Y65431">
    <cfRule type="expression" dxfId="0" priority="1">
      <formula>Y1&lt;0</formula>
    </cfRule>
  </conditionalFormatting>
  <dataValidations count="3">
    <dataValidation type="list" allowBlank="1" showInputMessage="1" showErrorMessage="1" sqref="D5:D7" xr:uid="{00000000-0002-0000-0000-000000000000}">
      <formula1>"经营类,工程类,融资类,框架类"</formula1>
    </dataValidation>
    <dataValidation allowBlank="1" showInputMessage="1" showErrorMessage="1" sqref="K5:M7" xr:uid="{00000000-0002-0000-0000-000001000000}"/>
    <dataValidation type="list" allowBlank="1" showInputMessage="1" showErrorMessage="1" sqref="N5:Q7" xr:uid="{00000000-0002-0000-0000-000002000000}">
      <formula1>"履行完毕,合同终止/解除,合同变更,产生纠纷,履行中"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附件1.6采购-运维技术部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胡孟凡</dc:creator>
  <cp:lastModifiedBy>孟凡 胡</cp:lastModifiedBy>
  <dcterms:created xsi:type="dcterms:W3CDTF">2026-06-11T08:51:00Z</dcterms:created>
  <dcterms:modified xsi:type="dcterms:W3CDTF">2026-06-12T06:15:14Z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E848AC69EAAE40C585CB12159B2F7D5A_11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