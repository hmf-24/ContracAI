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附件1.6采购-运维技术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<sst xmlns="http://schemas.openxmlformats.org/spreadsheetml/2006/main" count="45" uniqueCount="35">
  <si>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云南云上云信息化有限公司
采购合同履行情况统计表</t>
  </si>
  <si>
    <t>自动</t>
  </si>
  <si>
    <t>手动</t>
  </si>
  <si>
    <t>单位：元</t>
  </si>
  <si>
    <t>序号</t>
  </si>
  <si>
    <t>对应销售合同</t>
  </si>
  <si>
    <t>合同编号</t>
  </si>
  <si>
    <t>合同类型</t>
  </si>
  <si>
    <t>合同名称</t>
  </si>
  <si>
    <t>对方单位名称</t>
  </si>
  <si>
    <t>合同金额（元）</t>
  </si>
  <si>
    <t>税率</t>
  </si>
  <si>
    <t>不含税金额（元）</t>
  </si>
  <si>
    <t>履约保证金/
质保金情况</t>
  </si>
  <si>
    <t>签订时间</t>
  </si>
  <si>
    <t>生效日期</t>
  </si>
  <si>
    <t>截止日期（以质保/维保结束时间为准）</t>
  </si>
  <si>
    <t>合同状态</t>
  </si>
  <si>
    <t>合同执行节点</t>
  </si>
  <si>
    <t>经办人</t>
  </si>
  <si>
    <t>采购方式</t>
  </si>
  <si>
    <t>主办部门</t>
  </si>
  <si>
    <t>合同支付条款</t>
  </si>
  <si>
    <t>备注</t>
  </si>
  <si>
    <t>已开票情况</t>
  </si>
  <si>
    <t>支付情况
（以合同最后付款时间判断-自动计算）</t>
  </si>
  <si>
    <t>合同未付款合计
（自动计算）</t>
  </si>
  <si>
    <t>付款合计
（自动计算）</t>
  </si>
  <si>
    <t>付款金额</t>
  </si>
  <si>
    <t>付款时间</t>
  </si>
  <si>
    <t>退履约保证金、质保金</t>
  </si>
  <si>
    <t>初验日期（无初验要求，统一填在终验栏）</t>
  </si>
  <si>
    <t>终验日期</t>
  </si>
  <si>
    <t>其他</t>
  </si>
  <si>
    <t>运维技术部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</si>
</sst>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4"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theme="1"/>
      <name val="方正仿宋简体"/>
      <charset val="134"/>
    </font>
    <font>
      <b/>
      <sz val="12"/>
      <color theme="1"/>
      <name val="宋体"/>
      <charset val="134"/>
      <scheme val="minor"/>
    </font>
    <font>
      <sz val="9"/>
      <color rgb="FF000000"/>
      <name val="方正仿宋简体"/>
      <charset val="134"/>
    </font>
    <font>
      <b/>
      <sz val="18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b/>
      <sz val="9"/>
      <color rgb="FF000000"/>
      <name val="宋体"/>
      <charset val="134"/>
    </font>
    <font>
      <b/>
      <sz val="10"/>
      <name val="宋体"/>
      <charset val="134"/>
    </font>
    <font>
      <sz val="9"/>
      <name val="方正仿宋简体"/>
      <charset val="134"/>
    </font>
    <font>
      <b/>
      <sz val="9"/>
      <color theme="1"/>
      <name val="方正仿宋简体"/>
      <charset val="134"/>
    </font>
    <font>
      <b/>
      <sz val="9"/>
      <color rgb="FF000000"/>
      <name val="方正仿宋简体"/>
      <charset val="134"/>
    </font>
    <font>
      <b/>
      <sz val="9"/>
      <name val="方正仿宋简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10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 shrinkToFit="1"/>
    </xf>
    <xf numFmtId="43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 shrinkToFit="1"/>
    </xf>
    <xf numFmtId="0" fontId="7" fillId="3" borderId="0" xfId="0" applyFont="1" applyFill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 shrinkToFit="1"/>
    </xf>
    <xf numFmtId="43" fontId="5" fillId="0" borderId="0" xfId="0" applyNumberFormat="1" applyFont="1" applyAlignment="1">
      <alignment horizontal="center" vertical="center" wrapText="1"/>
    </xf>
    <xf numFmtId="43" fontId="5" fillId="0" borderId="0" xfId="0" applyNumberFormat="1" applyFont="1" applyAlignment="1">
      <alignment horizontal="right" vertical="center" wrapText="1"/>
    </xf>
    <xf numFmtId="176" fontId="5" fillId="0" borderId="0" xfId="0" applyNumberFormat="1" applyFont="1" applyAlignment="1">
      <alignment horizontal="left" vertical="center" wrapText="1"/>
    </xf>
    <xf numFmtId="176" fontId="8" fillId="0" borderId="0" xfId="0" applyNumberFormat="1" applyFont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43" fontId="9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43" fontId="9" fillId="0" borderId="4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 shrinkToFit="1"/>
    </xf>
    <xf numFmtId="43" fontId="10" fillId="0" borderId="7" xfId="0" applyNumberFormat="1" applyFont="1" applyBorder="1" applyAlignment="1">
      <alignment horizontal="center" vertical="center" wrapText="1"/>
    </xf>
    <xf numFmtId="43" fontId="10" fillId="0" borderId="7" xfId="0" applyNumberFormat="1" applyFont="1" applyBorder="1" applyAlignment="1">
      <alignment horizontal="right" vertical="center" wrapText="1"/>
    </xf>
    <xf numFmtId="176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3" fontId="4" fillId="4" borderId="7" xfId="0" applyNumberFormat="1" applyFont="1" applyFill="1" applyBorder="1" applyAlignment="1">
      <alignment horizontal="right" vertical="center" wrapText="1"/>
    </xf>
    <xf numFmtId="43" fontId="4" fillId="0" borderId="7" xfId="0" applyNumberFormat="1" applyFont="1" applyBorder="1" applyAlignment="1">
      <alignment horizontal="center" vertical="center" wrapText="1"/>
    </xf>
    <xf numFmtId="43" fontId="4" fillId="5" borderId="7" xfId="0" applyNumberFormat="1" applyFont="1" applyFill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43" fontId="4" fillId="5" borderId="3" xfId="0" applyNumberFormat="1" applyFont="1" applyFill="1" applyBorder="1" applyAlignment="1">
      <alignment horizontal="center" vertical="center" wrapText="1"/>
    </xf>
    <xf numFmtId="43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 wrapText="1"/>
    </xf>
    <xf numFmtId="43" fontId="2" fillId="0" borderId="0" xfId="0" applyNumberFormat="1" applyFont="1" applyAlignment="1">
      <alignment vertical="center"/>
    </xf>
    <xf numFmtId="43" fontId="4" fillId="0" borderId="0" xfId="0" applyNumberFormat="1" applyFont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 wrapText="1"/>
    </xf>
    <xf numFmtId="43" fontId="13" fillId="6" borderId="7" xfId="0" applyNumberFormat="1" applyFont="1" applyFill="1" applyBorder="1" applyAlignment="1">
      <alignment horizontal="center" vertical="center" wrapText="1"/>
    </xf>
    <xf numFmtId="43" fontId="13" fillId="6" borderId="7" xfId="0" applyNumberFormat="1" applyFont="1" applyFill="1" applyBorder="1" applyAlignment="1">
      <alignment horizontal="right" vertical="center" wrapText="1"/>
    </xf>
    <xf numFmtId="176" fontId="11" fillId="6" borderId="7" xfId="0" applyNumberFormat="1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 wrapText="1"/>
    </xf>
    <xf numFmtId="43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383838"/>
      </font>
      <fill>
        <patternFill patternType="solid">
          <bgColor rgb="FFFF0000"/>
        </patternFill>
      </fill>
    </dxf>
    <dxf>
      <font>
        <i val="0"/>
        <strike val="0"/>
      </font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7"/>
  <sheetViews>
    <sheetView tabSelected="1" topLeftCell="X1" workbookViewId="0">
      <selection activeCell="AL38" sqref="AL38"/>
    </sheetView>
  </sheetViews>
  <sheetFormatPr defaultColWidth="10.6666666666667" defaultRowHeight="16.5" customHeight="1" outlineLevelRow="6"/>
  <cols>
    <col min="1" max="1" width="6.80833333333333" style="5" customWidth="1"/>
    <col min="2" max="3" width="11.575" style="6" customWidth="1"/>
    <col min="4" max="4" width="12.75" style="7" customWidth="1"/>
    <col min="5" max="5" width="25.35" style="8" customWidth="1"/>
    <col min="6" max="6" width="25.475" style="8" customWidth="1"/>
    <col min="7" max="7" width="18.2666666666667" style="9" customWidth="1"/>
    <col min="8" max="8" width="7.95" style="9" customWidth="1"/>
    <col min="9" max="9" width="15.15" style="10" customWidth="1"/>
    <col min="10" max="10" width="11.3416666666667" style="9" customWidth="1"/>
    <col min="11" max="11" width="17.5083333333333" style="11" customWidth="1"/>
    <col min="12" max="12" width="12.975" style="11" customWidth="1"/>
    <col min="13" max="13" width="14.45" style="11" customWidth="1"/>
    <col min="14" max="14" width="8.43333333333333" style="11" customWidth="1"/>
    <col min="15" max="15" width="13.575" style="11" customWidth="1"/>
    <col min="16" max="17" width="8.825" style="11" customWidth="1"/>
    <col min="18" max="19" width="14.45" style="7" customWidth="1"/>
    <col min="20" max="20" width="13.6" style="7" customWidth="1"/>
    <col min="21" max="21" width="18.95" style="12" customWidth="1"/>
    <col min="22" max="22" width="19.5583333333333" style="13" customWidth="1"/>
    <col min="23" max="23" width="13.6" style="10" customWidth="1"/>
    <col min="24" max="24" width="17.0666666666667" style="13" customWidth="1"/>
    <col min="25" max="25" width="16.5333333333333" style="9" customWidth="1"/>
    <col min="26" max="26" width="16.4833333333333" style="9" customWidth="1"/>
    <col min="27" max="27" width="15.25" style="11" customWidth="1"/>
    <col min="28" max="28" width="18.9583333333333" style="9" customWidth="1"/>
    <col min="29" max="29" width="12.2666666666667" style="11" customWidth="1"/>
    <col min="30" max="30" width="18.9916666666667" style="9" customWidth="1"/>
    <col min="31" max="31" width="12.6666666666667" style="7" customWidth="1"/>
    <col min="32" max="32" width="13.625" style="9" customWidth="1"/>
    <col min="33" max="33" width="12" style="7" customWidth="1"/>
    <col min="34" max="34" width="12.0583333333333" style="9" customWidth="1"/>
    <col min="35" max="35" width="10.1333333333333" style="7" customWidth="1"/>
    <col min="36" max="36" width="14.5083333333333" style="9" customWidth="1"/>
    <col min="37" max="37" width="11.15" style="7" customWidth="1"/>
    <col min="38" max="38" width="21.375" style="7" customWidth="1"/>
    <col min="39" max="39" width="18.95" style="14" hidden="1" customWidth="1"/>
    <col min="40" max="49" width="18.95" style="15" hidden="1" customWidth="1"/>
    <col min="50" max="16384" width="18.95" style="15" customWidth="1"/>
  </cols>
  <sheetData>
    <row r="1" s="1" customFormat="1" ht="84" customHeight="1" spans="1:256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  <c r="L1" s="17"/>
      <c r="M1" s="17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8"/>
      <c r="AA1" s="19"/>
      <c r="AB1" s="18"/>
      <c r="AC1" s="19"/>
      <c r="AD1" s="18"/>
      <c r="AE1" s="20"/>
      <c r="AF1" s="18"/>
      <c r="AG1" s="20"/>
      <c r="AH1" s="18"/>
      <c r="AI1" s="20"/>
      <c r="AJ1" s="18"/>
      <c r="AK1" s="20"/>
      <c r="AL1" s="20"/>
      <c r="AM1" s="21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</row>
    <row r="2" s="1" customFormat="1" ht="25" customHeight="1" spans="1:256">
      <c r="A2" s="22" t="s">
        <v>1</v>
      </c>
      <c r="B2" s="23" t="s">
        <v>2</v>
      </c>
      <c r="C2" s="24"/>
      <c r="D2" s="25"/>
      <c r="E2" s="26"/>
      <c r="F2" s="26"/>
      <c r="G2" s="27"/>
      <c r="H2" s="27"/>
      <c r="I2" s="28"/>
      <c r="J2" s="16"/>
      <c r="K2" s="25"/>
      <c r="L2" s="25"/>
      <c r="M2" s="25"/>
      <c r="N2" s="25"/>
      <c r="O2" s="25"/>
      <c r="P2" s="25"/>
      <c r="Q2" s="25"/>
      <c r="R2" s="25"/>
      <c r="S2" s="25"/>
      <c r="T2" s="25"/>
      <c r="U2" s="29"/>
      <c r="V2" s="25"/>
      <c r="W2" s="28"/>
      <c r="X2" s="25"/>
      <c r="Y2" s="30" t="s">
        <v>3</v>
      </c>
      <c r="Z2" s="25"/>
      <c r="AA2" s="25"/>
      <c r="AB2" s="18"/>
      <c r="AC2" s="19"/>
      <c r="AD2" s="18"/>
      <c r="AE2" s="20"/>
      <c r="AF2" s="18"/>
      <c r="AG2" s="20"/>
      <c r="AH2" s="18"/>
      <c r="AI2" s="20"/>
      <c r="AJ2" s="18"/>
      <c r="AK2" s="20"/>
      <c r="AL2" s="20"/>
      <c r="AM2" s="21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</row>
    <row r="3" s="2" customFormat="1" ht="39" customHeight="1" spans="1:256">
      <c r="A3" s="31" t="s">
        <v>4</v>
      </c>
      <c r="B3" s="31" t="s">
        <v>5</v>
      </c>
      <c r="C3" s="32" t="s">
        <v>6</v>
      </c>
      <c r="D3" s="31" t="s">
        <v>7</v>
      </c>
      <c r="E3" s="32" t="s">
        <v>8</v>
      </c>
      <c r="F3" s="32" t="s">
        <v>9</v>
      </c>
      <c r="G3" s="32" t="s">
        <v>10</v>
      </c>
      <c r="H3" s="32" t="s">
        <v>11</v>
      </c>
      <c r="I3" s="32" t="s">
        <v>12</v>
      </c>
      <c r="J3" s="31" t="s">
        <v>13</v>
      </c>
      <c r="K3" s="32" t="s">
        <v>14</v>
      </c>
      <c r="L3" s="32" t="s">
        <v>15</v>
      </c>
      <c r="M3" s="32" t="s">
        <v>16</v>
      </c>
      <c r="N3" s="32" t="s">
        <v>17</v>
      </c>
      <c r="O3" s="33" t="s">
        <v>18</v>
      </c>
      <c r="P3" s="34"/>
      <c r="Q3" s="35"/>
      <c r="R3" s="31" t="s">
        <v>19</v>
      </c>
      <c r="S3" s="31" t="s">
        <v>20</v>
      </c>
      <c r="T3" s="32" t="s">
        <v>21</v>
      </c>
      <c r="U3" s="32" t="s">
        <v>22</v>
      </c>
      <c r="V3" s="31" t="s">
        <v>23</v>
      </c>
      <c r="W3" s="31" t="s">
        <v>24</v>
      </c>
      <c r="X3" s="32" t="s">
        <v>25</v>
      </c>
      <c r="Y3" s="32" t="s">
        <v>26</v>
      </c>
      <c r="Z3" s="32" t="s">
        <v>27</v>
      </c>
      <c r="AA3" s="32" t="s">
        <v>28</v>
      </c>
      <c r="AB3" s="31" t="s">
        <v>29</v>
      </c>
      <c r="AC3" s="31" t="s">
        <v>28</v>
      </c>
      <c r="AD3" s="31" t="s">
        <v>29</v>
      </c>
      <c r="AE3" s="31" t="s">
        <v>28</v>
      </c>
      <c r="AF3" s="31" t="s">
        <v>29</v>
      </c>
      <c r="AG3" s="31" t="s">
        <v>28</v>
      </c>
      <c r="AH3" s="31" t="s">
        <v>29</v>
      </c>
      <c r="AI3" s="31" t="s">
        <v>28</v>
      </c>
      <c r="AJ3" s="31" t="s">
        <v>29</v>
      </c>
      <c r="AK3" s="31" t="s">
        <v>28</v>
      </c>
      <c r="AL3" s="31" t="s">
        <v>29</v>
      </c>
      <c r="AM3" s="36" t="s">
        <v>30</v>
      </c>
      <c r="AN3" s="36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37"/>
      <c r="FH3" s="37"/>
      <c r="FI3" s="37"/>
      <c r="FJ3" s="37"/>
      <c r="FK3" s="37"/>
      <c r="FL3" s="37"/>
      <c r="FM3" s="37"/>
      <c r="FN3" s="37"/>
      <c r="FO3" s="37"/>
      <c r="FP3" s="37"/>
      <c r="FQ3" s="37"/>
      <c r="FR3" s="37"/>
      <c r="FS3" s="37"/>
      <c r="FT3" s="37"/>
      <c r="FU3" s="37"/>
      <c r="FV3" s="37"/>
      <c r="FW3" s="37"/>
      <c r="FX3" s="37"/>
      <c r="FY3" s="37"/>
      <c r="FZ3" s="37"/>
      <c r="GA3" s="37"/>
      <c r="GB3" s="37"/>
      <c r="GC3" s="37"/>
      <c r="GD3" s="37"/>
      <c r="GE3" s="37"/>
      <c r="GF3" s="37"/>
      <c r="GG3" s="37"/>
      <c r="GH3" s="37"/>
      <c r="GI3" s="37"/>
      <c r="GJ3" s="37"/>
      <c r="GK3" s="37"/>
      <c r="GL3" s="37"/>
      <c r="GM3" s="37"/>
      <c r="GN3" s="37"/>
      <c r="GO3" s="37"/>
      <c r="GP3" s="37"/>
      <c r="GQ3" s="37"/>
      <c r="GR3" s="37"/>
      <c r="GS3" s="37"/>
      <c r="GT3" s="37"/>
      <c r="GU3" s="37"/>
      <c r="GV3" s="37"/>
      <c r="GW3" s="37"/>
      <c r="GX3" s="37"/>
      <c r="GY3" s="37"/>
      <c r="GZ3" s="37"/>
      <c r="HA3" s="37"/>
      <c r="HB3" s="37"/>
      <c r="HC3" s="37"/>
      <c r="HD3" s="37"/>
      <c r="HE3" s="37"/>
      <c r="HF3" s="37"/>
      <c r="HG3" s="37"/>
      <c r="HH3" s="37"/>
      <c r="HI3" s="37"/>
      <c r="HJ3" s="37"/>
      <c r="HK3" s="37"/>
      <c r="HL3" s="37"/>
      <c r="HM3" s="37"/>
      <c r="HN3" s="37"/>
      <c r="HO3" s="37"/>
      <c r="HP3" s="37"/>
      <c r="HQ3" s="37"/>
      <c r="HR3" s="37"/>
      <c r="HS3" s="37"/>
      <c r="HT3" s="37"/>
      <c r="HU3" s="37"/>
      <c r="HV3" s="37"/>
      <c r="HW3" s="37"/>
      <c r="HX3" s="37"/>
      <c r="HY3" s="37"/>
      <c r="HZ3" s="37"/>
      <c r="IA3" s="37"/>
      <c r="IB3" s="37"/>
      <c r="IC3" s="37"/>
      <c r="ID3" s="37"/>
      <c r="IE3" s="37"/>
      <c r="IF3" s="37"/>
      <c r="IG3" s="37"/>
      <c r="IH3" s="37"/>
      <c r="II3" s="37"/>
      <c r="IJ3" s="37"/>
      <c r="IK3" s="37"/>
      <c r="IL3" s="37"/>
      <c r="IM3" s="37"/>
      <c r="IN3" s="37"/>
      <c r="IO3" s="37"/>
      <c r="IP3" s="37"/>
      <c r="IQ3" s="37"/>
      <c r="IR3" s="37"/>
      <c r="IS3" s="37"/>
      <c r="IT3" s="37"/>
      <c r="IU3" s="37"/>
      <c r="IV3" s="37"/>
    </row>
    <row r="4" s="2" customFormat="1" ht="38" customHeight="1" spans="1:256">
      <c r="A4" s="38"/>
      <c r="B4" s="38"/>
      <c r="C4" s="39"/>
      <c r="D4" s="38"/>
      <c r="E4" s="39"/>
      <c r="F4" s="39"/>
      <c r="G4" s="39"/>
      <c r="H4" s="39"/>
      <c r="I4" s="39"/>
      <c r="J4" s="38"/>
      <c r="K4" s="39"/>
      <c r="L4" s="39"/>
      <c r="M4" s="39"/>
      <c r="N4" s="39"/>
      <c r="O4" s="40" t="s">
        <v>31</v>
      </c>
      <c r="P4" s="40" t="s">
        <v>32</v>
      </c>
      <c r="Q4" s="40" t="s">
        <v>33</v>
      </c>
      <c r="R4" s="38"/>
      <c r="S4" s="38"/>
      <c r="T4" s="39"/>
      <c r="U4" s="39"/>
      <c r="V4" s="38"/>
      <c r="W4" s="38"/>
      <c r="X4" s="39"/>
      <c r="Y4" s="39"/>
      <c r="Z4" s="39"/>
      <c r="AA4" s="39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6"/>
      <c r="AN4" s="41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  <c r="IU4" s="37"/>
      <c r="IV4" s="37"/>
    </row>
    <row r="5" s="3" customFormat="1" ht="30.75" customHeight="1" spans="1:256">
      <c r="A5" s="42">
        <f>SUBTOTAL(103,$E$5:E5)</f>
        <v>0</v>
      </c>
      <c r="B5" s="43"/>
      <c r="C5" s="43"/>
      <c r="D5" s="44"/>
      <c r="E5" s="45"/>
      <c r="F5" s="44"/>
      <c r="G5" s="46"/>
      <c r="H5" s="46"/>
      <c r="I5" s="47"/>
      <c r="J5" s="48"/>
      <c r="K5" s="48"/>
      <c r="L5" s="48"/>
      <c r="M5" s="48"/>
      <c r="N5" s="48"/>
      <c r="O5" s="48"/>
      <c r="P5" s="48"/>
      <c r="Q5" s="48"/>
      <c r="R5" s="44"/>
      <c r="S5" s="44"/>
      <c r="T5" s="44"/>
      <c r="U5" s="49"/>
      <c r="V5" s="50"/>
      <c r="W5" s="47"/>
      <c r="X5" s="51"/>
      <c r="Y5" s="52">
        <f>G5+J5-Z5</f>
        <v>0</v>
      </c>
      <c r="Z5" s="53">
        <f>AA5+AC5+AE5+AG5+AI5+AK5</f>
        <v>0</v>
      </c>
      <c r="AA5" s="54"/>
      <c r="AB5" s="55"/>
      <c r="AC5" s="54"/>
      <c r="AD5" s="55"/>
      <c r="AE5" s="54"/>
      <c r="AF5" s="44"/>
      <c r="AG5" s="54"/>
      <c r="AH5" s="44"/>
      <c r="AI5" s="54"/>
      <c r="AJ5" s="44"/>
      <c r="AK5" s="56"/>
      <c r="AL5" s="44"/>
      <c r="AM5" s="57"/>
      <c r="AN5" s="58"/>
      <c r="AO5" s="59"/>
      <c r="AP5" s="59"/>
      <c r="AQ5" s="60"/>
      <c r="AR5" s="60"/>
      <c r="AS5" s="59"/>
      <c r="AT5" s="59"/>
      <c r="AU5" s="59"/>
      <c r="AV5" s="59"/>
      <c r="AW5" s="58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</row>
    <row r="6" s="3" customFormat="1" ht="30.75" customHeight="1" spans="1:256">
      <c r="A6" s="42">
        <f>SUBTOTAL(103,$E$5:E6)</f>
        <v>0</v>
      </c>
      <c r="B6" s="43"/>
      <c r="C6" s="43"/>
      <c r="D6" s="44"/>
      <c r="E6" s="45"/>
      <c r="F6" s="44"/>
      <c r="G6" s="46"/>
      <c r="H6" s="46"/>
      <c r="I6" s="47"/>
      <c r="J6" s="48"/>
      <c r="K6" s="48"/>
      <c r="L6" s="48"/>
      <c r="M6" s="48"/>
      <c r="N6" s="48"/>
      <c r="O6" s="48"/>
      <c r="P6" s="48"/>
      <c r="Q6" s="48"/>
      <c r="R6" s="44"/>
      <c r="S6" s="44"/>
      <c r="T6" s="44"/>
      <c r="U6" s="49"/>
      <c r="V6" s="50"/>
      <c r="W6" s="47"/>
      <c r="X6" s="51"/>
      <c r="Y6" s="52">
        <f>G6+J6-Z6</f>
        <v>0</v>
      </c>
      <c r="Z6" s="53">
        <f>AA6+AC6+AE6+AG6+AI6+AK6</f>
        <v>0</v>
      </c>
      <c r="AA6" s="54"/>
      <c r="AB6" s="55"/>
      <c r="AC6" s="54"/>
      <c r="AD6" s="55"/>
      <c r="AE6" s="54"/>
      <c r="AF6" s="44"/>
      <c r="AG6" s="54"/>
      <c r="AH6" s="44"/>
      <c r="AI6" s="54"/>
      <c r="AJ6" s="44"/>
      <c r="AK6" s="56"/>
      <c r="AL6" s="44"/>
      <c r="AM6" s="57"/>
      <c r="AN6" s="58"/>
      <c r="AO6" s="59"/>
      <c r="AP6" s="59"/>
      <c r="AQ6" s="60"/>
      <c r="AR6" s="60"/>
      <c r="AS6" s="59"/>
      <c r="AT6" s="59"/>
      <c r="AU6" s="59"/>
      <c r="AV6" s="59"/>
      <c r="AW6" s="58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</row>
    <row r="7" s="4" customFormat="1" ht="22" customHeight="1" spans="1:256">
      <c r="A7" s="61"/>
      <c r="B7" s="61"/>
      <c r="C7" s="61"/>
      <c r="D7" s="62"/>
      <c r="E7" s="62" t="s">
        <v>34</v>
      </c>
      <c r="F7" s="62"/>
      <c r="G7" s="63">
        <f>SUM(G5:G6)</f>
        <v>0</v>
      </c>
      <c r="H7" s="63"/>
      <c r="I7" s="64">
        <f>SUM(I5:I6)</f>
        <v>0</v>
      </c>
      <c r="J7" s="63">
        <f>SUM(J5:J6)</f>
        <v>0</v>
      </c>
      <c r="K7" s="65"/>
      <c r="L7" s="65"/>
      <c r="M7" s="65"/>
      <c r="N7" s="66"/>
      <c r="O7" s="66"/>
      <c r="P7" s="66"/>
      <c r="Q7" s="66"/>
      <c r="R7" s="62"/>
      <c r="S7" s="62"/>
      <c r="T7" s="62"/>
      <c r="U7" s="67"/>
      <c r="V7" s="66"/>
      <c r="W7" s="64">
        <f>SUM(W5:W6)</f>
        <v>0</v>
      </c>
      <c r="X7" s="68"/>
      <c r="Y7" s="64">
        <f>SUM(Y5:Y6)</f>
        <v>0</v>
      </c>
      <c r="Z7" s="64">
        <f>SUM(Z5:Z6)</f>
        <v>0</v>
      </c>
      <c r="AA7" s="64">
        <f>SUM(AA5:AA6)</f>
        <v>0</v>
      </c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70"/>
      <c r="EA7" s="70"/>
      <c r="EB7" s="70"/>
      <c r="EC7" s="70"/>
      <c r="ED7" s="70"/>
      <c r="EE7" s="70"/>
      <c r="EF7" s="70"/>
      <c r="EG7" s="70"/>
      <c r="EH7" s="70"/>
      <c r="EI7" s="70"/>
      <c r="EJ7" s="70"/>
      <c r="EK7" s="70"/>
      <c r="EL7" s="70"/>
      <c r="EM7" s="70"/>
      <c r="EN7" s="70"/>
      <c r="EO7" s="70"/>
      <c r="EP7" s="70"/>
      <c r="EQ7" s="70"/>
      <c r="ER7" s="70"/>
      <c r="ES7" s="70"/>
      <c r="ET7" s="70"/>
      <c r="EU7" s="70"/>
      <c r="EV7" s="70"/>
      <c r="EW7" s="70"/>
      <c r="EX7" s="70"/>
      <c r="EY7" s="70"/>
      <c r="EZ7" s="70"/>
      <c r="FA7" s="70"/>
      <c r="FB7" s="70"/>
      <c r="FC7" s="70"/>
      <c r="FD7" s="70"/>
      <c r="FE7" s="70"/>
      <c r="FF7" s="70"/>
      <c r="FG7" s="70"/>
      <c r="FH7" s="70"/>
      <c r="FI7" s="70"/>
      <c r="FJ7" s="70"/>
      <c r="FK7" s="70"/>
      <c r="FL7" s="70"/>
      <c r="FM7" s="70"/>
      <c r="FN7" s="70"/>
      <c r="FO7" s="70"/>
      <c r="FP7" s="70"/>
      <c r="FQ7" s="70"/>
      <c r="FR7" s="70"/>
      <c r="FS7" s="70"/>
      <c r="FT7" s="70"/>
      <c r="FU7" s="70"/>
      <c r="FV7" s="70"/>
      <c r="FW7" s="70"/>
      <c r="FX7" s="70"/>
      <c r="FY7" s="70"/>
      <c r="FZ7" s="70"/>
      <c r="GA7" s="70"/>
      <c r="GB7" s="70"/>
      <c r="GC7" s="70"/>
      <c r="GD7" s="70"/>
      <c r="GE7" s="70"/>
      <c r="GF7" s="70"/>
      <c r="GG7" s="70"/>
      <c r="GH7" s="70"/>
      <c r="GI7" s="70"/>
      <c r="GJ7" s="70"/>
      <c r="GK7" s="70"/>
      <c r="GL7" s="70"/>
      <c r="GM7" s="70"/>
      <c r="GN7" s="70"/>
      <c r="GO7" s="70"/>
      <c r="GP7" s="70"/>
      <c r="GQ7" s="70"/>
      <c r="GR7" s="70"/>
      <c r="GS7" s="70"/>
      <c r="GT7" s="70"/>
      <c r="GU7" s="70"/>
      <c r="GV7" s="70"/>
      <c r="GW7" s="70"/>
      <c r="GX7" s="70"/>
      <c r="GY7" s="70"/>
      <c r="GZ7" s="70"/>
      <c r="HA7" s="70"/>
      <c r="HB7" s="70"/>
      <c r="HC7" s="70"/>
      <c r="HD7" s="70"/>
      <c r="HE7" s="70"/>
      <c r="HF7" s="70"/>
      <c r="HG7" s="70"/>
      <c r="HH7" s="70"/>
      <c r="HI7" s="70"/>
      <c r="HJ7" s="70"/>
      <c r="HK7" s="70"/>
      <c r="HL7" s="70"/>
      <c r="HM7" s="70"/>
      <c r="HN7" s="70"/>
      <c r="HO7" s="70"/>
      <c r="HP7" s="70"/>
      <c r="HQ7" s="70"/>
      <c r="HR7" s="70"/>
      <c r="HS7" s="70"/>
      <c r="HT7" s="70"/>
      <c r="HU7" s="70"/>
      <c r="HV7" s="70"/>
      <c r="HW7" s="70"/>
      <c r="HX7" s="70"/>
      <c r="HY7" s="70"/>
      <c r="HZ7" s="70"/>
      <c r="IA7" s="70"/>
      <c r="IB7" s="70"/>
      <c r="IC7" s="70"/>
      <c r="ID7" s="70"/>
      <c r="IE7" s="70"/>
      <c r="IF7" s="70"/>
      <c r="IG7" s="70"/>
      <c r="IH7" s="70"/>
      <c r="II7" s="70"/>
      <c r="IJ7" s="70"/>
      <c r="IK7" s="70"/>
      <c r="IL7" s="70"/>
      <c r="IM7" s="70"/>
      <c r="IN7" s="70"/>
      <c r="IO7" s="70"/>
      <c r="IP7" s="70"/>
      <c r="IQ7" s="70"/>
      <c r="IR7" s="70"/>
      <c r="IS7" s="70"/>
      <c r="IT7" s="70"/>
      <c r="IU7" s="70"/>
      <c r="IV7" s="70"/>
    </row>
  </sheetData>
  <sheetProtection formatCells="0" formatColumns="0" formatRows="0" insertRows="0" insertColumns="0" insertHyperlinks="0" deleteColumns="0" deleteRows="0" sort="0" autoFilter="0" pivotTables="0"/>
  <mergeCells count="37">
    <mergeCell ref="A1:Y1"/>
    <mergeCell ref="O3:Q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</mergeCells>
  <conditionalFormatting sqref="X7">
    <cfRule type="containsText" dxfId="0" priority="2" operator="between" text="超期">
      <formula>NOT(ISERROR(SEARCH("超期",X7)))</formula>
    </cfRule>
  </conditionalFormatting>
  <conditionalFormatting sqref="X1:X2 X5:X6 X8:X65431">
    <cfRule type="containsText" dxfId="0" priority="3" operator="between" text="超期">
      <formula>NOT(ISERROR(SEARCH("超期",X1)))</formula>
    </cfRule>
  </conditionalFormatting>
  <conditionalFormatting sqref="Y1:Y2 Y5:Y65431">
    <cfRule type="expression" dxfId="1" priority="1">
      <formula>Y1&lt;0</formula>
    </cfRule>
  </conditionalFormatting>
  <dataValidations count="3">
    <dataValidation type="list" allowBlank="1" showInputMessage="1" showErrorMessage="1" sqref="D5:D7">
      <formula1>"经营类,工程类,融资类,框架类"</formula1>
    </dataValidation>
    <dataValidation allowBlank="1" showInputMessage="1" showErrorMessage="1" sqref="K5:M7"/>
    <dataValidation type="list" allowBlank="1" showInputMessage="1" showErrorMessage="1" sqref="N5:Q7">
      <formula1>"履行完毕,合同终止/解除,合同变更,产生纠纷,履行中"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附件1.6采购-运维技术部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胡孟凡</dc:creator>
  <cp:lastModifiedBy>胡孟凡</cp:lastModifiedBy>
  <dcterms:created xsi:type="dcterms:W3CDTF">2026-06-11T08:51:00Z</dcterms:created>
  <dcterms:modified xsi:type="dcterms:W3CDTF">2026-06-11T08:53:05Z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E848AC69EAAE40C585CB12159B2F7D5A_11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